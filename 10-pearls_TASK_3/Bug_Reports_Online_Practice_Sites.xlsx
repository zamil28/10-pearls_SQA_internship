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ct.intern\Desktop\10-pearls\"/>
    </mc:Choice>
  </mc:AlternateContent>
  <xr:revisionPtr revIDLastSave="0" documentId="13_ncr:1_{A56E0ADE-8E6C-4BC7-9399-E37442508C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Bug Reports" sheetId="1" r:id="rId1"/>
    <sheet name="Release 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<sst xmlns="http://schemas.openxmlformats.org/spreadsheetml/2006/main" count="277" uniqueCount="172">
  <si>
    <t>Bug ID</t>
  </si>
  <si>
    <t>Title / Summary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</si>
  <si>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</si>
  <si>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</si>
  <si>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</si>
  <si>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</si>
  <si>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</si>
  <si>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</si>
  <si>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</si>
  <si>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</si>
  <si>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Reported By</t>
  </si>
  <si>
    <t>Date Reported</t>
  </si>
  <si>
    <t>BUG-001</t>
  </si>
  <si>
    <t>Registration accepts invalid Last Name format</t>
  </si>
  <si>
    <t>On the Registration page, the Last Name field accepts numeric and special characters without validation, and the validation message shown does not match the actual rule being enforced.</t>
  </si>
  <si>
    <t>1. Go to https://buggy.justtestit.org/
2. Navigate to Registration page
3. Enter a Last Name containing numbers/special characters (e.g., 'Test123!')
4. Submit the form</t>
  </si>
  <si>
    <t>System should reject non-alphabetic input in the Last Name field and display a clear, accurate validation message</t>
  </si>
  <si>
    <t>Registration completed successfully with 'Test123!' entered as the Last Name — no validation error is triggered, and no restriction is applied to alphabetic-only characters. The input field also displays a green (valid-looking) border despite containing numbers and a special character.</t>
  </si>
  <si>
    <t>Low</t>
  </si>
  <si>
    <t>Medium</t>
  </si>
  <si>
    <t>Chrome, Windows 11 - https://buggy.justtestit.org/</t>
  </si>
  <si>
    <t>Confirmed</t>
  </si>
  <si>
    <t>Syed Zamil Ali</t>
  </si>
  <si>
    <t>8/5/2026</t>
  </si>
  <si>
    <t>BUG-002</t>
  </si>
  <si>
    <t>Gender field validation - NOT APPLICABLE (field does not exist)</t>
  </si>
  <si>
    <t>Original test hypothesis assumed a Gender field existed on the registration form based on documented issues from a prior version of this site. Live testing confirmed the current registration form only contains Login, First Name, Last Name, Password, and Confirm Password.</t>
  </si>
  <si>
    <t>1. Go to https://buggy.justtestit.org/
2. Navigate to Registration page
3. Review all fields present on the form</t>
  </si>
  <si>
    <t>N/A</t>
  </si>
  <si>
    <t>No Gender field exists on the current version of the registration form. This bug does not apply as originally written.</t>
  </si>
  <si>
    <t>Invalid</t>
  </si>
  <si>
    <t>BUG-003</t>
  </si>
  <si>
    <t>Comment section has no content moderation / profanity filter</t>
  </si>
  <si>
    <t>User-submitted comments on car model pages are displayed without any moderation, filtering, or reporting mechanism, allowing offensive or inappropriate content to remain publicly visible.</t>
  </si>
  <si>
    <t>1. Go to https://buggy.justtestit.org/
2. Click 'List of all registered models'
3. Scroll through the Comments column on any model row (e.g., Lamborghini Veneno)
4. Observe unmoderated user-submitted text</t>
  </si>
  <si>
    <t>Comments should be filtered for offensive/inappropriate language, or at minimum have a reporting/moderation mechanism available to users.</t>
  </si>
  <si>
    <t>Offensive/inappropriate user comments (e.g., under the Lamborghini Veneno listing) are displayed publicly with no filtering or moderation controls in place.</t>
  </si>
  <si>
    <t>BUG-004</t>
  </si>
  <si>
    <t>Sorting on car list does not reorder results correctly</t>
  </si>
  <si>
    <t>Clicking the sortable column headers (Rank, Votes, Engine) on the car model listing page does not reorder the table rows at all — the list order remains identical before and after clicking.</t>
  </si>
  <si>
    <t>1. Go to https://buggy.justtestit.org/
2. Click 'List of all registered models'
3. Note the current row order
4. Click a sortable column header (e.g., Votes)
5. Compare the row order before and after</t>
  </si>
  <si>
    <t>Table rows should reorder according to the selected column (ascending/descending) when the header is clicked.</t>
  </si>
  <si>
    <t>Row order remains exactly the same after clicking the column header — no sorting is applied at all.</t>
  </si>
  <si>
    <t>BUG-005</t>
  </si>
  <si>
    <t>Pagination allows navigating beyond the last available page</t>
  </si>
  <si>
    <t>Pagination control on the car model listing page allows navigating indefinitely past the last page of actual data, with no upper bound enforced.</t>
  </si>
  <si>
    <t>1. Go to https://buggy.justtestit.org/
2. Click 'List of all registered models'
3. Scroll to the pagination controls at the bottom
4. Repeatedly click the '&gt;&gt;' (next) arrow past the last page with data</t>
  </si>
  <si>
    <t>Pagination should stop at the last page with data (page 5 in this case), disabling or hiding the 'Next' control once reached.</t>
  </si>
  <si>
    <t>User can continue clicking Next indefinitely — reached 'page 8 of 5' with a completely empty table and no boundary message or error shown.</t>
  </si>
  <si>
    <t>BUG-006</t>
  </si>
  <si>
    <t>Search returns no results for a valid partial product name</t>
  </si>
  <si>
    <t>Searching using a partial but valid product keyword does not return matching products that are visibly present in the catalog.</t>
  </si>
  <si>
    <t>1. Go to https://demo.opencart.com/ (or https://tutorialsninja.com/demo)
2. Use the top search bar
3. Enter a partial product name known to exist (e.g., 'Mac' for MacBook)
4. Click Search</t>
  </si>
  <si>
    <t>Search should return all products whose name contains the entered keyword</t>
  </si>
  <si>
    <t>demo.opencart.com was unresponsive/unreachable at the time of testing, so this bug could not be verified. Needs retesting once the site is available again (or verify via the tutorialsninja.com/demo mirror).</t>
  </si>
  <si>
    <t>High</t>
  </si>
  <si>
    <t>Chrome, Windows 11 - https://demo.opencart.com/</t>
  </si>
  <si>
    <t>Blocked</t>
  </si>
  <si>
    <t>BUG-007</t>
  </si>
  <si>
    <t>Compare Products list correctly prevents duplicate additions (VERIFIED - NOT A BUG)</t>
  </si>
  <si>
    <t>Original hypothesis assumed the Compare list would allow the same product to be added multiple times. Live testing on tutorialsninja.com/demo confirmed this is not the case.</t>
  </si>
  <si>
    <t>1. Go to https://tutorialsninja.com/demo
2. Open any product page (e.g., MacBook)
3. Click 'Add to Compare' multiple times
4. Open the Compare page and count entries for that product</t>
  </si>
  <si>
    <t>System should prevent duplicate entries for the same product in the Compare list.</t>
  </si>
  <si>
    <t>Confirmed: the product was added to the Compare list only once, regardless of how many times Add to Compare was clicked. Behaves as expected.</t>
  </si>
  <si>
    <t>BUG-008</t>
  </si>
  <si>
    <t>Login error messaging is consistent for wrong username vs wrong password (VERIFIED - GOOD PRACTICE, NOT A BUG)</t>
  </si>
  <si>
    <t>Verified that the login form shows an identical generic error message regardless of whether the username or password is incorrect. This is a positive security finding (prevents username enumeration) rather than a defect.</t>
  </si>
  <si>
    <t>1. Go to https://opensource-demo.orangehrmlive.com/
2. Log in with a valid username and wrong password, note the error
3. Log in with an invalid username and any password, note the error
4. Compare the two messages</t>
  </si>
  <si>
    <t>Error messaging should not reveal whether the username or password was the incorrect field, to prevent username enumeration.</t>
  </si>
  <si>
    <t>Confirmed: both scenarios show the exact same generic error message, correctly avoiding information leakage.</t>
  </si>
  <si>
    <t>Chrome, Windows 11 - https://opensource-demo.orangehrmlive.com/</t>
  </si>
  <si>
    <t>Closed</t>
  </si>
  <si>
    <t>BUG-009</t>
  </si>
  <si>
    <t>PIM employee record count increases incorrectly after clearing search filter</t>
  </si>
  <si>
    <t>After searching for an employee in the PIM module and then clearing the search fields, the total record count shown does not reset to the correct original total — it instead shows a higher, incorrect count.</t>
  </si>
  <si>
    <t>1. Login to https://opensource-demo.orangehrmlive.com/ (Admin/admin123)
2. Go to PIM &gt; Employee List (initial count: '112 Records Found')
3. Expand Employee Information panel, search for a specific employee name
4. Clear the search field and click Search again with no filters
5. Observe the 'Records Found' count</t>
  </si>
  <si>
    <t>Clearing the search filters and searching again should return the correct original total ('112 Records Found').</t>
  </si>
  <si>
    <t>The record count incorrectly shows '124 Records Found' after clearing the filter and re-searching — 12 more than the actual original total of 112.</t>
  </si>
  <si>
    <t>BUG-010</t>
  </si>
  <si>
    <t>Fund transfer accepts negative amount</t>
  </si>
  <si>
    <t>The Transfer Funds form does not validate against negative numeric input, and also does not prevent transferring funds from an account to itself. A negative-amount transfer between the same account number was accepted and processed.</t>
  </si>
  <si>
    <t>1. Login to https://parabank.parasoft.com/parabank (john/demo)
2. Go to Transfer Funds
3. Enter a negative value (e.g., -1000) in the Amount field
4. Leave From and To Account as the same account (#12345)
5. Click Transfer</t>
  </si>
  <si>
    <t>System should reject negative amounts with a clear validation error, and should prevent (or at minimum warn on) transferring funds from an account to itself.</t>
  </si>
  <si>
    <t>Transfer was processed successfully: 'Transfer Complete! -$1000.00 has been transferred from account #12345 to account #12345.' No validation error was shown for either the negative amount or the same-account transfer.</t>
  </si>
  <si>
    <t>Chrome, Windows 11 - https://parabank.parasoft.com/parabank</t>
  </si>
  <si>
    <t>BUG-011</t>
  </si>
  <si>
    <t>Account data accessible without proper authorization check</t>
  </si>
  <si>
    <t>Account-related pages can be accessed by manually editing the account ID in the URL, with no server-side ownership check. A second test account (Jane) was registered independently, and its account ID was then successfully accessed while logged in as a different user (John Smith), confirming a genuine cross-user authorization bypass.</t>
  </si>
  <si>
    <t>1. Register a new, independent ParaBank account (e.g., 'Jane') and note its account ID (#12356) from Accounts Overview
2. Log out, then log back in as a different existing user (john/demo)
3. Manually navigate to https://parabank.parasoft.com/parabank/activity.htm?id=12356
4. Observe whether Jane's account details are shown</t>
  </si>
  <si>
    <t>System should verify that the logged-in user (John) owns the requested account, and block access to account #12356 since it belongs to a different user (Jane).</t>
  </si>
  <si>
    <t>Confirmed: while logged in as John Smith, navigating directly to account #12356's activity page successfully displayed Jane's account details, with no authorization error or access block of any kind.</t>
  </si>
  <si>
    <t>Critical</t>
  </si>
  <si>
    <t>BUG-012</t>
  </si>
  <si>
    <t>Registration incorrectly rejects every username as 'already exists'</t>
  </si>
  <si>
    <t>The username availability check on the Registration form appears broken — it returns 'This username already exists' for every username tried, including clearly random, unique strings that could not realistically already be registered, effectively blocking new user registration entirely.</t>
  </si>
  <si>
    <t>1. Go to https://parabank.parasoft.com/parabank
2. Click Register
3. Fill in all required fields with valid data
4. Try several different random/unique usernames (e.g., 'ewrgt35t35', and others)
5. Click Register after each attempt</t>
  </si>
  <si>
    <t>The system should only reject a username if it is genuinely already taken, and should accept any unique, unused username.</t>
  </si>
  <si>
    <t>Every username tried — including clearly random, unlikely-to-exist strings — returns 'This username already exists.', preventing successful registration entirely.</t>
  </si>
  <si>
    <t>BUG-013</t>
  </si>
  <si>
    <t>Product page layout responsiveness (VERIFIED - NOT A BUG)</t>
  </si>
  <si>
    <t>Original hypothesis assumed the product image and description would overlap at narrow browser widths. Live testing on tutorialsninja.com/demo (HP LP3065 product page) at 400px width confirmed the layout stacks cleanly with no overlap.</t>
  </si>
  <si>
    <t>1. Go to https://tutorialsninja.com/demo
2. Open any product page (e.g., HP LP3065)
3. Resize browser to ~400px width (tablet/mobile view)
4. Observe image, thumbnails, and description layout</t>
  </si>
  <si>
    <t>Layout should adapt responsively, stacking elements cleanly without overlap.</t>
  </si>
  <si>
    <t>Confirmed: breadcrumb, main image, thumbnails, and description tabs all stack vertically and cleanly with no overlapping elements at 400px width.</t>
  </si>
  <si>
    <t>Chrome, Windows 11 - https://tutorialsninja.com/demo</t>
  </si>
  <si>
    <t>BUG-014</t>
  </si>
  <si>
    <t>Coupon code rejection message (VERIFIED - NOT A BUG)</t>
  </si>
  <si>
    <t>Original hypothesis assumed the coupon rejection message would be vague or unclear. Live testing on tutorialsninja.com/demo confirmed the system shows a clear, specific warning message.</t>
  </si>
  <si>
    <t>1. Go to https://tutorialsninja.com/demo and add a product to cart
2. Go to the Cart page
3. Expand 'Use Coupon Code'
4. Enter an invalid code (e.g., 'ZZZZZZ99')
5. Click Apply Coupon</t>
  </si>
  <si>
    <t>System should clearly indicate the coupon code is invalid.</t>
  </si>
  <si>
    <t>Confirmed: a clear red warning banner reads 'Warning: Coupon is either invalid, expired or reached its usage limit!' immediately after applying an invalid code.</t>
  </si>
  <si>
    <t>BUG-015</t>
  </si>
  <si>
    <t>Leave date range validation (VERIFIED - NOT A BUG)</t>
  </si>
  <si>
    <t>Original hypothesis assumed the Leave List filter would accept an End Date before the Start Date. Live testing confirmed the system correctly validates and blocks this.</t>
  </si>
  <si>
    <t>1. Login to https://opensource-demo.orangehrmlive.com/ (Admin/admin123)
2. Go to Leave &gt; Leave List
3. Set From Date after the To Date (e.g., From: 2026-10-04, To: 2026-01-04)
4. Attempt to search</t>
  </si>
  <si>
    <t>System should reject a date range where the end date precedes the start date, with a clear validation message.</t>
  </si>
  <si>
    <t>Confirmed: a clear inline red validation message reads 'To date should be after from date', and the field is highlighted in red.</t>
  </si>
  <si>
    <t>BUG-016</t>
  </si>
  <si>
    <t>Wishlist persistence across sessions (VERIFIED - NOT A BUG)</t>
  </si>
  <si>
    <t>Original hypothesis assumed Wishlist items would not persist after logout/login. Live testing on tutorialsninja.com/demo confirmed items remain saved to the account correctly.</t>
  </si>
  <si>
    <t>1. Login to https://tutorialsninja.com/demo
2. Add a product to the Wishlist
3. Log out
4. Log back in with the same account
5. Open the Wishlist page</t>
  </si>
  <si>
    <t>Wishlist items should remain saved against the user's account after logout/login.</t>
  </si>
  <si>
    <t>Confirmed: the previously added item remained in the Wishlist after logging out and logging back in with the same account.</t>
  </si>
  <si>
    <t>BUG-017</t>
  </si>
  <si>
    <t>Car profile page missing author/reviewer name</t>
  </si>
  <si>
    <t>On individual car detail/profile pages, the reviewer or author name associated with a rating/review is blank or missing, even though a review is displayed.</t>
  </si>
  <si>
    <t>1. Go to https://buggy.justtestit.org/
2. Open any car's detail/profile page
3. Scroll to the reviews/ratings section
4. Check whether an author name is shown for each review</t>
  </si>
  <si>
    <t>Each review should display the name of the author who submitted it</t>
  </si>
  <si>
    <t>Confirmed: the comments table on the car model detail page only displays two columns — Date/Time and Comment text. There is no author/username column at all, so every comment is fully anonymous.</t>
  </si>
  <si>
    <t>BUG-018</t>
  </si>
  <si>
    <t>Registration password max length validation (VERIFIED - NOT A BUG)</t>
  </si>
  <si>
    <t>Original hypothesis assumed the password field would accept an excessively long string with no restriction. Live testing on tutorialsninja.com/demo confirmed the system correctly enforces a maximum length and rejects the input.</t>
  </si>
  <si>
    <t>1. Go to https://tutorialsninja.com/demo
2. Click Register
3. Enter a password of 200+ characters
4. Fill remaining required fields and submit</t>
  </si>
  <si>
    <t>System should enforce a reasonable maximum password length with a clear validation message if exceeded.</t>
  </si>
  <si>
    <t>Confirmed: the form correctly rejected the excessively long password instead of silently accepting it.</t>
  </si>
  <si>
    <t>BUG-019</t>
  </si>
  <si>
    <t>Buzz post file-type validation (VERIFIED - NOT A BUG)</t>
  </si>
  <si>
    <t>Original hypothesis assumed the Buzz module would allow uploading non-image files without validation. Live testing confirmed the system correctly validates and blocks unsupported file types.</t>
  </si>
  <si>
    <t>1. Login to https://opensource-demo.orangehrmlive.com/ (Admin/admin123)
2. Go to Buzz module
3. Attempt to attach a non-image file (e.g., .txt or .pdf) via Add Photos</t>
  </si>
  <si>
    <t>System should validate the attached file is a supported image type and reject unsupported formats with a clear message.</t>
  </si>
  <si>
    <t>Confirmed: a clear red validation message reads "Only 'gif', 'png', 'jpg', 'jpeg' type images are allowed!" immediately upon attempting to attach an unsupported file.</t>
  </si>
  <si>
    <t>BUG-020</t>
  </si>
  <si>
    <t>Bill Pay form accepts special characters in Payee Name field</t>
  </si>
  <si>
    <t>The 'Pay Bills' form's Payee Name field accepts special characters (e.g., &lt;&gt;{}#$%) without validation, which is unexpected for a name field in a financial form.</t>
  </si>
  <si>
    <t>1. Login to https://parabank.parasoft.com/parabank (John/demo)
2. Go to Bill Pay
3. Enter special characters in the Payee Name field (e.g., '###$$$')
4. Fill remaining fields validly and submit</t>
  </si>
  <si>
    <t>System should restrict the Payee Name field to valid name characters and reject special-character-only input</t>
  </si>
  <si>
    <t>Bill payment was processed successfully with the special-character-only value: 'Bill Payment to ###$$$ in the amount of $2456.00 from account 12345 was successful.' No validation error was shown.</t>
  </si>
  <si>
    <t>Release Notes — QA Bug Hunt Summary</t>
  </si>
  <si>
    <t>Online Practice Sites: buggy.justtestit.org, ParaBank, OpenCart Demo, OrangeHRM Demo, Tutorials Ninja Demo</t>
  </si>
  <si>
    <t>Summary Statistics</t>
  </si>
  <si>
    <t>Total Bugs Reported</t>
  </si>
  <si>
    <t>Critical Severity</t>
  </si>
  <si>
    <t>High Severity</t>
  </si>
  <si>
    <t>Medium Severity</t>
  </si>
  <si>
    <t>Low Severity</t>
  </si>
  <si>
    <t>High Priority Bugs</t>
  </si>
  <si>
    <t>Bugs Status: New</t>
  </si>
  <si>
    <t>Major Functional Problems</t>
  </si>
  <si>
    <t>• BUG-011 — Account data accessible without authorization check (Critical/High) — confirmed live: while logged in as one user (John), another user's account (#12356, belonging to Jane) was fully accessible via direct URL, with no ownership check at all.</t>
  </si>
  <si>
    <t>• BUG-010 — Fund transfer accepts negative amount (High) — missing server-side validation allows financially nonsensical transactions to be submitted.</t>
  </si>
  <si>
    <t>• BUG-012 — Registration rejects every username as 'already exists' (Critical/High) — confirmed live: multiple random, unique usernames were all rejected, effectively blocking new registrations entirely.</t>
  </si>
  <si>
    <t>• BUG-006 — Search functionality could not be verified: demo.opencart.com was unresponsive during testing (Status: Blocked) — needs retesting.</t>
  </si>
  <si>
    <t>• BUG-005 — Pagination allows navigating indefinitely past the last page (Low/Medium) — confirmed live: reached 'page 8 of 5' with a fully empty table and no boundary handling.</t>
  </si>
  <si>
    <t>• BUG-004 — Column sorting on car model listing page does nothing (Medium/Medium) — confirmed live: row order is unchanged before and after clicking sortable headers.</t>
  </si>
  <si>
    <t>• BUG-009 — PIM employee record count is incorrect after clearing search filter (Medium/High) — confirmed live: count jumped from the correct 112 to an incorrect 124 after clearing and re-searching.</t>
  </si>
  <si>
    <t>Overall System Quality Observations</t>
  </si>
  <si>
    <t>• Input validation is the weakest area across all tested sites — several forms accept invalid, blank, or malformed data without clear rejection (registration fields, coupon codes, date ranges, negative amounts).</t>
  </si>
  <si>
    <t>• Authorization/access-control gaps were found on the banking demo (ParaBank), which would be considered a critical finding in a real production system.</t>
  </si>
  <si>
    <t>• UI/visual issues (broken images, layout overlap, inconsistent sorting) are present but generally low severity and do not block core workflows.</t>
  </si>
  <si>
    <t>• Error messaging is inconsistent — some flows show clear validation errors, while others surface raw/unhandled errors or vague generic messages.</t>
  </si>
  <si>
    <t>• None of the identified defects were show-stoppers that fully block core navigation; most core browse/search/checkout flows remain usable end-to-end despite the issues found.</t>
  </si>
  <si>
    <t>Note: This starter set combines well-documented issues on these public practice sites with expected common defect patterns. Verify each bug hands-on, adjust details to match what you actually observe, and add any additional bugs you find using the same row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</si>
</sst>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E67E22"/>
      <name val="Arial"/>
      <charset val="1"/>
    </font>
    <font>
      <b/>
      <sz val="10"/>
      <color rgb="FF27AE60"/>
      <name val="Arial"/>
      <charset val="1"/>
    </font>
    <font>
      <b/>
      <sz val="16"/>
      <color rgb="FFC0392B"/>
      <name val="Arial"/>
      <charset val="1"/>
    </font>
    <font>
      <i/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9"/>
      <color rgb="FF7F8C8D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C3E50"/>
        <bgColor rgb="FF3333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7" fillId="3" borderId="0" xfId="0" applyFont="1" applyFill="1"/>
    <xf numFmtId="0" fontId="6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8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8C8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pane ySplit="1" topLeftCell="A8" activePane="bottomLeft" state="frozen"/>
      <selection pane="bottomLeft" activeCell="E2" sqref="E2"/>
    </sheetView>
  </sheetViews>
  <sheetFormatPr defaultColWidth="8.7109375" defaultRowHeight="15" x14ac:dyDescent="0.25"/>
  <cols>
    <col min="1" max="1" width="10" customWidth="1"/>
    <col min="2" max="2" width="28" customWidth="1"/>
    <col min="3" max="4" width="34" customWidth="1"/>
    <col min="5" max="6" width="30" customWidth="1"/>
    <col min="7" max="7" width="11" customWidth="1"/>
    <col min="8" max="8" width="10" customWidth="1"/>
    <col min="9" max="9" width="26" customWidth="1"/>
    <col min="10" max="10" width="11" customWidth="1"/>
    <col min="11" max="12" width="14" customWidth="1"/>
  </cols>
  <sheetData>
    <row r="1" spans="1:12" ht="31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68.25" customHeight="1" x14ac:dyDescent="0.25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8" t="s">
        <v>22</v>
      </c>
      <c r="L2" s="8" t="s">
        <v>23</v>
      </c>
    </row>
    <row r="3" spans="1:12" ht="68.25" customHeight="1" x14ac:dyDescent="0.25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28</v>
      </c>
      <c r="H3" s="7" t="s">
        <v>28</v>
      </c>
      <c r="I3" s="7" t="s">
        <v>20</v>
      </c>
      <c r="J3" s="7" t="s">
        <v>30</v>
      </c>
      <c r="K3" s="8" t="s">
        <v>22</v>
      </c>
      <c r="L3" s="8" t="s">
        <v>23</v>
      </c>
    </row>
    <row r="4" spans="1:12" ht="45.75" customHeight="1" x14ac:dyDescent="0.25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19</v>
      </c>
      <c r="H4" s="7" t="s">
        <v>19</v>
      </c>
      <c r="I4" s="7" t="s">
        <v>20</v>
      </c>
      <c r="J4" s="7" t="s">
        <v>21</v>
      </c>
      <c r="K4" s="8" t="s">
        <v>22</v>
      </c>
      <c r="L4" s="8" t="s">
        <v>23</v>
      </c>
    </row>
    <row r="5" spans="1:12" ht="57" customHeight="1" x14ac:dyDescent="0.2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19</v>
      </c>
      <c r="H5" s="7" t="s">
        <v>19</v>
      </c>
      <c r="I5" s="7" t="s">
        <v>20</v>
      </c>
      <c r="J5" s="7" t="s">
        <v>21</v>
      </c>
      <c r="K5" s="8" t="s">
        <v>22</v>
      </c>
      <c r="L5" s="8" t="s">
        <v>23</v>
      </c>
    </row>
    <row r="6" spans="1:12" ht="45.75" customHeight="1" x14ac:dyDescent="0.25">
      <c r="A6" s="7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18</v>
      </c>
      <c r="H6" s="7" t="s">
        <v>19</v>
      </c>
      <c r="I6" s="7" t="s">
        <v>20</v>
      </c>
      <c r="J6" s="7" t="s">
        <v>21</v>
      </c>
      <c r="K6" s="8" t="s">
        <v>22</v>
      </c>
      <c r="L6" s="8" t="s">
        <v>23</v>
      </c>
    </row>
    <row r="7" spans="1:12" ht="68.25" customHeight="1" x14ac:dyDescent="0.25">
      <c r="A7" s="7" t="s">
        <v>49</v>
      </c>
      <c r="B7" s="7" t="s">
        <v>50</v>
      </c>
      <c r="C7" s="7" t="s">
        <v>51</v>
      </c>
      <c r="D7" s="7" t="s">
        <v>52</v>
      </c>
      <c r="E7" s="7" t="s">
        <v>53</v>
      </c>
      <c r="F7" s="7" t="s">
        <v>54</v>
      </c>
      <c r="G7" s="9" t="s">
        <v>19</v>
      </c>
      <c r="H7" s="7" t="s">
        <v>55</v>
      </c>
      <c r="I7" s="7" t="s">
        <v>56</v>
      </c>
      <c r="J7" s="7" t="s">
        <v>57</v>
      </c>
      <c r="K7" s="8" t="s">
        <v>22</v>
      </c>
      <c r="L7" s="8" t="s">
        <v>23</v>
      </c>
    </row>
    <row r="8" spans="1:12" ht="57" customHeight="1" x14ac:dyDescent="0.25">
      <c r="A8" s="7" t="s">
        <v>58</v>
      </c>
      <c r="B8" s="7" t="s">
        <v>59</v>
      </c>
      <c r="C8" s="7" t="s">
        <v>60</v>
      </c>
      <c r="D8" s="7" t="s">
        <v>61</v>
      </c>
      <c r="E8" s="7" t="s">
        <v>62</v>
      </c>
      <c r="F8" s="7" t="s">
        <v>63</v>
      </c>
      <c r="G8" s="7" t="s">
        <v>28</v>
      </c>
      <c r="H8" s="7" t="s">
        <v>28</v>
      </c>
      <c r="I8" s="7" t="s">
        <v>56</v>
      </c>
      <c r="J8" s="7" t="s">
        <v>30</v>
      </c>
      <c r="K8" s="8" t="s">
        <v>22</v>
      </c>
      <c r="L8" s="8" t="s">
        <v>23</v>
      </c>
    </row>
    <row r="9" spans="1:12" ht="79.5" customHeight="1" x14ac:dyDescent="0.25">
      <c r="A9" s="7" t="s">
        <v>64</v>
      </c>
      <c r="B9" s="7" t="s">
        <v>65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28</v>
      </c>
      <c r="H9" s="7" t="s">
        <v>28</v>
      </c>
      <c r="I9" s="7" t="s">
        <v>70</v>
      </c>
      <c r="J9" s="7" t="s">
        <v>71</v>
      </c>
      <c r="K9" s="8" t="s">
        <v>22</v>
      </c>
      <c r="L9" s="8" t="s">
        <v>23</v>
      </c>
    </row>
    <row r="10" spans="1:12" ht="79.5" customHeight="1" x14ac:dyDescent="0.25">
      <c r="A10" s="7" t="s">
        <v>72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77</v>
      </c>
      <c r="G10" s="7" t="s">
        <v>19</v>
      </c>
      <c r="H10" s="7" t="s">
        <v>55</v>
      </c>
      <c r="I10" s="7" t="s">
        <v>70</v>
      </c>
      <c r="J10" s="7" t="s">
        <v>21</v>
      </c>
      <c r="K10" s="8" t="s">
        <v>22</v>
      </c>
      <c r="L10" s="8" t="s">
        <v>23</v>
      </c>
    </row>
    <row r="11" spans="1:12" ht="79.5" customHeight="1" x14ac:dyDescent="0.25">
      <c r="A11" s="7" t="s">
        <v>78</v>
      </c>
      <c r="B11" s="7" t="s">
        <v>79</v>
      </c>
      <c r="C11" s="7" t="s">
        <v>80</v>
      </c>
      <c r="D11" s="7" t="s">
        <v>81</v>
      </c>
      <c r="E11" s="7" t="s">
        <v>82</v>
      </c>
      <c r="F11" s="7" t="s">
        <v>83</v>
      </c>
      <c r="G11" s="7" t="s">
        <v>55</v>
      </c>
      <c r="H11" s="7" t="s">
        <v>55</v>
      </c>
      <c r="I11" s="7" t="s">
        <v>84</v>
      </c>
      <c r="J11" s="7" t="s">
        <v>21</v>
      </c>
      <c r="K11" s="8" t="s">
        <v>22</v>
      </c>
      <c r="L11" s="8" t="s">
        <v>23</v>
      </c>
    </row>
    <row r="12" spans="1:12" ht="79.5" customHeight="1" x14ac:dyDescent="0.25">
      <c r="A12" s="7" t="s">
        <v>85</v>
      </c>
      <c r="B12" s="7" t="s">
        <v>86</v>
      </c>
      <c r="C12" s="7" t="s">
        <v>87</v>
      </c>
      <c r="D12" s="7" t="s">
        <v>88</v>
      </c>
      <c r="E12" s="7" t="s">
        <v>89</v>
      </c>
      <c r="F12" s="7" t="s">
        <v>90</v>
      </c>
      <c r="G12" s="7" t="s">
        <v>91</v>
      </c>
      <c r="H12" s="7" t="s">
        <v>55</v>
      </c>
      <c r="I12" s="7" t="s">
        <v>84</v>
      </c>
      <c r="J12" s="7" t="s">
        <v>21</v>
      </c>
      <c r="K12" s="8" t="s">
        <v>22</v>
      </c>
      <c r="L12" s="8" t="s">
        <v>23</v>
      </c>
    </row>
    <row r="13" spans="1:12" ht="68.25" customHeight="1" x14ac:dyDescent="0.25">
      <c r="A13" s="7" t="s">
        <v>92</v>
      </c>
      <c r="B13" s="7" t="s">
        <v>93</v>
      </c>
      <c r="C13" s="7" t="s">
        <v>94</v>
      </c>
      <c r="D13" s="7" t="s">
        <v>95</v>
      </c>
      <c r="E13" s="7" t="s">
        <v>96</v>
      </c>
      <c r="F13" s="7" t="s">
        <v>97</v>
      </c>
      <c r="G13" s="7" t="s">
        <v>91</v>
      </c>
      <c r="H13" s="7" t="s">
        <v>55</v>
      </c>
      <c r="I13" s="7" t="s">
        <v>84</v>
      </c>
      <c r="J13" s="7" t="s">
        <v>21</v>
      </c>
      <c r="K13" s="8" t="s">
        <v>22</v>
      </c>
      <c r="L13" s="8" t="s">
        <v>23</v>
      </c>
    </row>
    <row r="14" spans="1:12" ht="57" customHeight="1" x14ac:dyDescent="0.25">
      <c r="A14" s="7" t="s">
        <v>98</v>
      </c>
      <c r="B14" s="7" t="s">
        <v>99</v>
      </c>
      <c r="C14" s="7" t="s">
        <v>100</v>
      </c>
      <c r="D14" s="7" t="s">
        <v>101</v>
      </c>
      <c r="E14" s="7" t="s">
        <v>102</v>
      </c>
      <c r="F14" s="7" t="s">
        <v>103</v>
      </c>
      <c r="G14" s="7" t="s">
        <v>28</v>
      </c>
      <c r="H14" s="7" t="s">
        <v>28</v>
      </c>
      <c r="I14" s="7" t="s">
        <v>104</v>
      </c>
      <c r="J14" s="7" t="s">
        <v>30</v>
      </c>
      <c r="K14" s="8" t="s">
        <v>22</v>
      </c>
      <c r="L14" s="8" t="s">
        <v>23</v>
      </c>
    </row>
    <row r="15" spans="1:12" ht="68.25" customHeight="1" x14ac:dyDescent="0.25">
      <c r="A15" s="7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28</v>
      </c>
      <c r="H15" s="7" t="s">
        <v>28</v>
      </c>
      <c r="I15" s="7" t="s">
        <v>56</v>
      </c>
      <c r="J15" s="7" t="s">
        <v>30</v>
      </c>
      <c r="K15" s="8" t="s">
        <v>22</v>
      </c>
      <c r="L15" s="8" t="s">
        <v>23</v>
      </c>
    </row>
    <row r="16" spans="1:12" ht="79.5" customHeight="1" x14ac:dyDescent="0.25">
      <c r="A16" s="7" t="s">
        <v>111</v>
      </c>
      <c r="B16" s="7" t="s">
        <v>112</v>
      </c>
      <c r="C16" s="7" t="s">
        <v>113</v>
      </c>
      <c r="D16" s="7" t="s">
        <v>114</v>
      </c>
      <c r="E16" s="7" t="s">
        <v>115</v>
      </c>
      <c r="F16" s="7" t="s">
        <v>116</v>
      </c>
      <c r="G16" s="7" t="s">
        <v>28</v>
      </c>
      <c r="H16" s="7" t="s">
        <v>28</v>
      </c>
      <c r="I16" s="7" t="s">
        <v>70</v>
      </c>
      <c r="J16" s="7" t="s">
        <v>30</v>
      </c>
      <c r="K16" s="8" t="s">
        <v>22</v>
      </c>
      <c r="L16" s="8" t="s">
        <v>23</v>
      </c>
    </row>
    <row r="17" spans="1:12" ht="57" customHeight="1" x14ac:dyDescent="0.25">
      <c r="A17" s="7" t="s">
        <v>117</v>
      </c>
      <c r="B17" s="7" t="s">
        <v>118</v>
      </c>
      <c r="C17" s="7" t="s">
        <v>119</v>
      </c>
      <c r="D17" s="7" t="s">
        <v>120</v>
      </c>
      <c r="E17" s="7" t="s">
        <v>121</v>
      </c>
      <c r="F17" s="7" t="s">
        <v>122</v>
      </c>
      <c r="G17" s="7" t="s">
        <v>28</v>
      </c>
      <c r="H17" s="7" t="s">
        <v>28</v>
      </c>
      <c r="I17" s="7" t="s">
        <v>56</v>
      </c>
      <c r="J17" s="7" t="s">
        <v>30</v>
      </c>
      <c r="K17" s="8" t="s">
        <v>22</v>
      </c>
      <c r="L17" s="8" t="s">
        <v>23</v>
      </c>
    </row>
    <row r="18" spans="1:12" ht="57" customHeight="1" x14ac:dyDescent="0.25">
      <c r="A18" s="7" t="s">
        <v>123</v>
      </c>
      <c r="B18" s="7" t="s">
        <v>124</v>
      </c>
      <c r="C18" s="7" t="s">
        <v>125</v>
      </c>
      <c r="D18" s="7" t="s">
        <v>126</v>
      </c>
      <c r="E18" s="7" t="s">
        <v>127</v>
      </c>
      <c r="F18" s="7" t="s">
        <v>128</v>
      </c>
      <c r="G18" s="10" t="s">
        <v>18</v>
      </c>
      <c r="H18" s="7" t="s">
        <v>18</v>
      </c>
      <c r="I18" s="7" t="s">
        <v>20</v>
      </c>
      <c r="J18" s="7" t="s">
        <v>21</v>
      </c>
      <c r="K18" s="8" t="s">
        <v>22</v>
      </c>
      <c r="L18" s="8" t="s">
        <v>23</v>
      </c>
    </row>
    <row r="19" spans="1:12" ht="57" customHeight="1" x14ac:dyDescent="0.25">
      <c r="A19" s="7" t="s">
        <v>129</v>
      </c>
      <c r="B19" s="7" t="s">
        <v>130</v>
      </c>
      <c r="C19" s="7" t="s">
        <v>131</v>
      </c>
      <c r="D19" s="7" t="s">
        <v>132</v>
      </c>
      <c r="E19" s="7" t="s">
        <v>133</v>
      </c>
      <c r="F19" s="7" t="s">
        <v>134</v>
      </c>
      <c r="G19" s="7" t="s">
        <v>28</v>
      </c>
      <c r="H19" s="7" t="s">
        <v>28</v>
      </c>
      <c r="I19" s="7" t="s">
        <v>104</v>
      </c>
      <c r="J19" s="7" t="s">
        <v>30</v>
      </c>
      <c r="K19" s="8" t="s">
        <v>22</v>
      </c>
      <c r="L19" s="8" t="s">
        <v>23</v>
      </c>
    </row>
    <row r="20" spans="1:12" ht="79.5" customHeight="1" x14ac:dyDescent="0.25">
      <c r="A20" s="7" t="s">
        <v>135</v>
      </c>
      <c r="B20" s="7" t="s">
        <v>136</v>
      </c>
      <c r="C20" s="7" t="s">
        <v>137</v>
      </c>
      <c r="D20" s="7" t="s">
        <v>138</v>
      </c>
      <c r="E20" s="7" t="s">
        <v>139</v>
      </c>
      <c r="F20" s="7" t="s">
        <v>140</v>
      </c>
      <c r="G20" s="7" t="s">
        <v>28</v>
      </c>
      <c r="H20" s="7" t="s">
        <v>28</v>
      </c>
      <c r="I20" s="7" t="s">
        <v>70</v>
      </c>
      <c r="J20" s="7" t="s">
        <v>30</v>
      </c>
      <c r="K20" s="8" t="s">
        <v>22</v>
      </c>
      <c r="L20" s="8" t="s">
        <v>23</v>
      </c>
    </row>
    <row r="21" spans="1:12" ht="79.5" customHeight="1" x14ac:dyDescent="0.25">
      <c r="A21" s="7" t="s">
        <v>141</v>
      </c>
      <c r="B21" s="7" t="s">
        <v>142</v>
      </c>
      <c r="C21" s="7" t="s">
        <v>143</v>
      </c>
      <c r="D21" s="7" t="s">
        <v>144</v>
      </c>
      <c r="E21" s="7" t="s">
        <v>145</v>
      </c>
      <c r="F21" s="7" t="s">
        <v>146</v>
      </c>
      <c r="G21" s="9" t="s">
        <v>19</v>
      </c>
      <c r="H21" s="7" t="s">
        <v>19</v>
      </c>
      <c r="I21" s="7" t="s">
        <v>84</v>
      </c>
      <c r="J21" s="7" t="s">
        <v>21</v>
      </c>
      <c r="K21" s="8" t="s">
        <v>22</v>
      </c>
      <c r="L21" s="8" t="s">
        <v>23</v>
      </c>
    </row>
  </sheetData>
  <dataValidations count="3">
    <dataValidation type="list" sqref="G2:G41" xr:uid="{00000000-0002-0000-0000-000000000000}">
      <formula1>"Critical,High,Medium,Low"</formula1>
      <formula2>0</formula2>
    </dataValidation>
    <dataValidation type="list" sqref="H2:H41" xr:uid="{00000000-0002-0000-0000-000001000000}">
      <formula1>"High,Medium,Low"</formula1>
      <formula2>0</formula2>
    </dataValidation>
    <dataValidation type="list" sqref="J2:J41" xr:uid="{00000000-0002-0000-0000-000002000000}">
      <formula1>"New,Confirmed,Invalid,Blocked,Open,In Progress,Fixed,Retest,Closed,Reopened"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13" zoomScaleNormal="100" workbookViewId="0">
      <selection activeCell="L30" sqref="L30"/>
    </sheetView>
  </sheetViews>
  <sheetFormatPr defaultColWidth="8.7109375" defaultRowHeight="15" x14ac:dyDescent="0.25"/>
  <cols>
    <col min="1" max="1" width="34" customWidth="1"/>
    <col min="2" max="4" width="18" customWidth="1"/>
  </cols>
  <sheetData>
    <row r="1" spans="1:4" ht="19.5" customHeight="1" x14ac:dyDescent="0.3">
      <c r="A1" s="5" t="s">
        <v>147</v>
      </c>
      <c r="B1" s="5"/>
      <c r="C1" s="5"/>
      <c r="D1" s="5"/>
    </row>
    <row r="2" spans="1:4" ht="15" customHeight="1" x14ac:dyDescent="0.25">
      <c r="A2" s="4" t="s">
        <v>148</v>
      </c>
      <c r="B2" s="4"/>
      <c r="C2" s="4"/>
      <c r="D2" s="4"/>
    </row>
    <row r="4" spans="1:4" ht="15" customHeight="1" x14ac:dyDescent="0.25">
      <c r="A4" s="3" t="s">
        <v>149</v>
      </c>
      <c r="B4" s="3"/>
      <c r="C4" s="3"/>
      <c r="D4" s="3"/>
    </row>
    <row r="5" spans="1:4" ht="15" customHeight="1" x14ac:dyDescent="0.25">
      <c r="A5" s="11" t="s">
        <v>150</v>
      </c>
      <c r="B5" s="12">
        <f>COUNTA('Bug Reports'!A2:A100)</f>
        <v>20</v>
      </c>
    </row>
    <row r="6" spans="1:4" ht="15" customHeight="1" x14ac:dyDescent="0.25">
      <c r="A6" s="11" t="s">
        <v>151</v>
      </c>
      <c r="B6" s="12">
        <f>COUNTIF('Bug Reports'!G2:G100,"Critical")</f>
        <v>2</v>
      </c>
    </row>
    <row r="7" spans="1:4" ht="15" customHeight="1" x14ac:dyDescent="0.25">
      <c r="A7" s="11" t="s">
        <v>152</v>
      </c>
      <c r="B7" s="12">
        <f>COUNTIF('Bug Reports'!G2:G100,"High")</f>
        <v>1</v>
      </c>
    </row>
    <row r="8" spans="1:4" ht="15" customHeight="1" x14ac:dyDescent="0.25">
      <c r="A8" s="11" t="s">
        <v>153</v>
      </c>
      <c r="B8" s="12">
        <f>COUNTIF('Bug Reports'!G2:G100,"Medium")</f>
        <v>5</v>
      </c>
    </row>
    <row r="9" spans="1:4" ht="15" customHeight="1" x14ac:dyDescent="0.25">
      <c r="A9" s="11" t="s">
        <v>154</v>
      </c>
      <c r="B9" s="12">
        <f>COUNTIF('Bug Reports'!G2:G100,"Low")</f>
        <v>3</v>
      </c>
    </row>
    <row r="10" spans="1:4" ht="15" customHeight="1" x14ac:dyDescent="0.25">
      <c r="A10" s="11" t="s">
        <v>155</v>
      </c>
      <c r="B10" s="12">
        <f>COUNTIF('Bug Reports'!H2:H100,"High")</f>
        <v>5</v>
      </c>
    </row>
    <row r="11" spans="1:4" ht="15" customHeight="1" x14ac:dyDescent="0.25">
      <c r="A11" s="11" t="s">
        <v>156</v>
      </c>
      <c r="B11" s="12">
        <f>COUNTIF('Bug Reports'!J2:J100,"New")</f>
        <v>0</v>
      </c>
    </row>
    <row r="13" spans="1:4" ht="15" customHeight="1" x14ac:dyDescent="0.25">
      <c r="A13" s="3" t="s">
        <v>157</v>
      </c>
      <c r="B13" s="3"/>
      <c r="C13" s="3"/>
      <c r="D13" s="3"/>
    </row>
    <row r="14" spans="1:4" ht="30" customHeight="1" x14ac:dyDescent="0.25">
      <c r="A14" s="2" t="s">
        <v>158</v>
      </c>
      <c r="B14" s="2"/>
      <c r="C14" s="2"/>
      <c r="D14" s="2"/>
    </row>
    <row r="15" spans="1:4" ht="30" customHeight="1" x14ac:dyDescent="0.25">
      <c r="A15" s="2" t="s">
        <v>159</v>
      </c>
      <c r="B15" s="2"/>
      <c r="C15" s="2"/>
      <c r="D15" s="2"/>
    </row>
    <row r="16" spans="1:4" ht="30" customHeight="1" x14ac:dyDescent="0.25">
      <c r="A16" s="2" t="s">
        <v>160</v>
      </c>
      <c r="B16" s="2"/>
      <c r="C16" s="2"/>
      <c r="D16" s="2"/>
    </row>
    <row r="17" spans="1:4" ht="30" customHeight="1" x14ac:dyDescent="0.25">
      <c r="A17" s="2" t="s">
        <v>161</v>
      </c>
      <c r="B17" s="2"/>
      <c r="C17" s="2"/>
      <c r="D17" s="2"/>
    </row>
    <row r="18" spans="1:4" ht="30" customHeight="1" x14ac:dyDescent="0.25">
      <c r="A18" s="2" t="s">
        <v>162</v>
      </c>
      <c r="B18" s="2"/>
      <c r="C18" s="2"/>
      <c r="D18" s="2"/>
    </row>
    <row r="19" spans="1:4" ht="30" customHeight="1" x14ac:dyDescent="0.25">
      <c r="A19" s="2" t="s">
        <v>163</v>
      </c>
      <c r="B19" s="2"/>
      <c r="C19" s="2"/>
      <c r="D19" s="2"/>
    </row>
    <row r="20" spans="1:4" ht="30" customHeight="1" x14ac:dyDescent="0.25">
      <c r="A20" s="2" t="s">
        <v>164</v>
      </c>
      <c r="B20" s="2"/>
      <c r="C20" s="2"/>
      <c r="D20" s="2"/>
    </row>
    <row r="21" spans="1:4" ht="30" customHeight="1" x14ac:dyDescent="0.25">
      <c r="A21" s="1"/>
      <c r="B21" s="1"/>
      <c r="C21" s="1"/>
      <c r="D21" s="1"/>
    </row>
    <row r="22" spans="1:4" ht="30" customHeight="1" x14ac:dyDescent="0.25">
      <c r="A22" s="3" t="s">
        <v>165</v>
      </c>
      <c r="B22" s="3"/>
      <c r="C22" s="3"/>
      <c r="D22" s="3"/>
    </row>
    <row r="23" spans="1:4" ht="30" customHeight="1" x14ac:dyDescent="0.25">
      <c r="A23" s="2" t="s">
        <v>166</v>
      </c>
      <c r="B23" s="2"/>
      <c r="C23" s="2"/>
      <c r="D23" s="2"/>
    </row>
    <row r="24" spans="1:4" ht="30" customHeight="1" x14ac:dyDescent="0.25">
      <c r="A24" s="2" t="s">
        <v>167</v>
      </c>
      <c r="B24" s="2"/>
      <c r="C24" s="2"/>
      <c r="D24" s="2"/>
    </row>
    <row r="25" spans="1:4" ht="15" customHeight="1" x14ac:dyDescent="0.25">
      <c r="A25" s="12" t="s">
        <v>168</v>
      </c>
    </row>
    <row r="26" spans="1:4" ht="39.75" customHeight="1" x14ac:dyDescent="0.25">
      <c r="A26" s="2" t="s">
        <v>169</v>
      </c>
      <c r="B26" s="2"/>
      <c r="C26" s="2"/>
      <c r="D26" s="2"/>
    </row>
    <row r="27" spans="1:4" ht="15" customHeight="1" x14ac:dyDescent="0.25">
      <c r="A27" s="12" t="s">
        <v>170</v>
      </c>
    </row>
    <row r="28" spans="1:4" ht="15" customHeight="1" x14ac:dyDescent="0.25"/>
    <row r="29" spans="1:4" ht="15" customHeight="1" x14ac:dyDescent="0.25">
      <c r="A29" s="13" t="s">
        <v>171</v>
      </c>
    </row>
  </sheetData>
  <mergeCells count="16">
    <mergeCell ref="A26:D26"/>
    <mergeCell ref="A20:D20"/>
    <mergeCell ref="A21:D21"/>
    <mergeCell ref="A22:D22"/>
    <mergeCell ref="A23:D23"/>
    <mergeCell ref="A24:D24"/>
    <mergeCell ref="A15:D15"/>
    <mergeCell ref="A16:D16"/>
    <mergeCell ref="A17:D17"/>
    <mergeCell ref="A18:D18"/>
    <mergeCell ref="A19:D19"/>
    <mergeCell ref="A1:D1"/>
    <mergeCell ref="A2:D2"/>
    <mergeCell ref="A4:D4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Release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ICT Intern</cp:lastModifiedBy>
  <cp:revision>0</cp:revision>
  <dcterms:created xsi:type="dcterms:W3CDTF">2026-08-06T04:39:06Z</dcterms:created>
  <dcterms:modified xsi:type="dcterms:W3CDTF">2026-08-06T11:08:06Z</dcterms:modified>
  <dc:language>en-US</dc:language>
</cp:coreProperties>
</file>